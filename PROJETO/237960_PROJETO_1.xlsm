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unicampbr-my.sharepoint.com/personal/g237960_m_unicamp_br/Documents/UNICAMP DRIVE/2023/1S/EQ 502/PROJETO/"/>
    </mc:Choice>
  </mc:AlternateContent>
  <xr:revisionPtr revIDLastSave="8" documentId="8_{2EC69E47-0F8B-455B-892B-33024AE860DC}" xr6:coauthVersionLast="47" xr6:coauthVersionMax="47" xr10:uidLastSave="{F94CC442-CF72-4C72-8711-4A7C3CF947C5}"/>
  <bookViews>
    <workbookView xWindow="1185" yWindow="1800" windowWidth="17865" windowHeight="11385" firstSheet="1" activeTab="1" xr2:uid="{DE5E1FB8-DF57-4FAE-A456-BDB7565C509A}"/>
  </bookViews>
  <sheets>
    <sheet name="Questão 1" sheetId="1" r:id="rId1"/>
    <sheet name="Questão2" sheetId="3" r:id="rId2"/>
    <sheet name="Questão3" sheetId="4" r:id="rId3"/>
    <sheet name="Questão4" sheetId="6" r:id="rId4"/>
  </sheets>
  <definedNames>
    <definedName name="solver_adj" localSheetId="0" hidden="1">'Questão 1'!$E$19:$E$22</definedName>
    <definedName name="solver_adj" localSheetId="1" hidden="1">Questão2!$H$3:$H$6</definedName>
    <definedName name="solver_adj" localSheetId="2" hidden="1">Questão3!$H$3:$H$7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'Questão 1'!$H$20</definedName>
    <definedName name="solver_lhs1" localSheetId="1" hidden="1">Questão2!$B$10</definedName>
    <definedName name="solver_lhs1" localSheetId="2" hidden="1">Questão3!$B$12</definedName>
    <definedName name="solver_lhs10" localSheetId="2" hidden="1">Questão3!$H$5</definedName>
    <definedName name="solver_lhs11" localSheetId="2" hidden="1">Questão3!$H$6</definedName>
    <definedName name="solver_lhs12" localSheetId="2" hidden="1">Questão3!$H$6</definedName>
    <definedName name="solver_lhs13" localSheetId="2" hidden="1">Questão3!$H$7</definedName>
    <definedName name="solver_lhs14" localSheetId="2" hidden="1">Questão3!$H$7</definedName>
    <definedName name="solver_lhs2" localSheetId="0" hidden="1">'Questão 1'!$H$21</definedName>
    <definedName name="solver_lhs2" localSheetId="1" hidden="1">Questão2!$B$11</definedName>
    <definedName name="solver_lhs2" localSheetId="2" hidden="1">Questão3!$B$13</definedName>
    <definedName name="solver_lhs3" localSheetId="0" hidden="1">'Questão 1'!$H$22</definedName>
    <definedName name="solver_lhs3" localSheetId="1" hidden="1">Questão2!$B$12</definedName>
    <definedName name="solver_lhs3" localSheetId="2" hidden="1">Questão3!$B$14</definedName>
    <definedName name="solver_lhs4" localSheetId="2" hidden="1">Questão3!$B$15</definedName>
    <definedName name="solver_lhs5" localSheetId="2" hidden="1">Questão3!$B$15</definedName>
    <definedName name="solver_lhs6" localSheetId="2" hidden="1">Questão3!$H$3</definedName>
    <definedName name="solver_lhs7" localSheetId="2" hidden="1">Questão3!$H$4</definedName>
    <definedName name="solver_lhs8" localSheetId="2" hidden="1">Questão3!$H$4</definedName>
    <definedName name="solver_lhs9" localSheetId="2" hidden="1">Questão3!$H$5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3</definedName>
    <definedName name="solver_num" localSheetId="1" hidden="1">3</definedName>
    <definedName name="solver_num" localSheetId="2" hidden="1">4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'Questão 1'!$H$19</definedName>
    <definedName name="solver_opt" localSheetId="1" hidden="1">Questão2!$B$9</definedName>
    <definedName name="solver_opt" localSheetId="2" hidden="1">Questão3!$B$11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2</definedName>
    <definedName name="solver_rel1" localSheetId="1" hidden="1">2</definedName>
    <definedName name="solver_rel1" localSheetId="2" hidden="1">2</definedName>
    <definedName name="solver_rel10" localSheetId="2" hidden="1">3</definedName>
    <definedName name="solver_rel11" localSheetId="2" hidden="1">1</definedName>
    <definedName name="solver_rel12" localSheetId="2" hidden="1">3</definedName>
    <definedName name="solver_rel13" localSheetId="2" hidden="1">1</definedName>
    <definedName name="solver_rel14" localSheetId="2" hidden="1">3</definedName>
    <definedName name="solver_rel2" localSheetId="0" hidden="1">2</definedName>
    <definedName name="solver_rel2" localSheetId="1" hidden="1">2</definedName>
    <definedName name="solver_rel2" localSheetId="2" hidden="1">2</definedName>
    <definedName name="solver_rel3" localSheetId="0" hidden="1">2</definedName>
    <definedName name="solver_rel3" localSheetId="1" hidden="1">2</definedName>
    <definedName name="solver_rel3" localSheetId="2" hidden="1">2</definedName>
    <definedName name="solver_rel4" localSheetId="2" hidden="1">2</definedName>
    <definedName name="solver_rel5" localSheetId="2" hidden="1">2</definedName>
    <definedName name="solver_rel6" localSheetId="2" hidden="1">3</definedName>
    <definedName name="solver_rel7" localSheetId="2" hidden="1">1</definedName>
    <definedName name="solver_rel8" localSheetId="2" hidden="1">3</definedName>
    <definedName name="solver_rel9" localSheetId="2" hidden="1">1</definedName>
    <definedName name="solver_rhs1" localSheetId="0" hidden="1">0</definedName>
    <definedName name="solver_rhs1" localSheetId="1" hidden="1">0</definedName>
    <definedName name="solver_rhs1" localSheetId="2" hidden="1">0</definedName>
    <definedName name="solver_rhs10" localSheetId="2" hidden="1">0</definedName>
    <definedName name="solver_rhs11" localSheetId="2" hidden="1">400</definedName>
    <definedName name="solver_rhs12" localSheetId="2" hidden="1">300</definedName>
    <definedName name="solver_rhs13" localSheetId="2" hidden="1">400</definedName>
    <definedName name="solver_rhs14" localSheetId="2" hidden="1">250</definedName>
    <definedName name="solver_rhs2" localSheetId="0" hidden="1">0</definedName>
    <definedName name="solver_rhs2" localSheetId="1" hidden="1">0</definedName>
    <definedName name="solver_rhs2" localSheetId="2" hidden="1">0</definedName>
    <definedName name="solver_rhs3" localSheetId="0" hidden="1">0</definedName>
    <definedName name="solver_rhs3" localSheetId="1" hidden="1">0</definedName>
    <definedName name="solver_rhs3" localSheetId="2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500</definedName>
    <definedName name="solver_rhs8" localSheetId="2" hidden="1">0</definedName>
    <definedName name="solver_rhs9" localSheetId="2" hidden="1">500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4" l="1"/>
  <c r="B8" i="4"/>
  <c r="B14" i="4" s="1"/>
  <c r="B12" i="3"/>
  <c r="B11" i="3"/>
  <c r="B10" i="3"/>
  <c r="B9" i="3"/>
  <c r="B11" i="4" l="1"/>
  <c r="B12" i="4"/>
  <c r="B13" i="4"/>
  <c r="H12" i="1"/>
  <c r="H7" i="1"/>
  <c r="G6" i="1"/>
  <c r="B13" i="1"/>
  <c r="B14" i="1" s="1"/>
  <c r="B16" i="4" l="1"/>
  <c r="E6" i="1"/>
  <c r="F6" i="1"/>
  <c r="B16" i="1"/>
  <c r="F7" i="1"/>
  <c r="E5" i="1"/>
  <c r="B18" i="1" l="1"/>
  <c r="G8" i="1"/>
  <c r="G7" i="1"/>
  <c r="H19" i="1" l="1" a="1"/>
  <c r="H8" i="1"/>
  <c r="E12" i="1" s="1" a="1"/>
  <c r="B20" i="1"/>
  <c r="H19" i="1" l="1"/>
  <c r="H20" i="1"/>
  <c r="H22" i="1"/>
  <c r="H21" i="1"/>
  <c r="E12" i="1"/>
  <c r="E14" i="1"/>
  <c r="E15" i="1"/>
  <c r="E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EF0358-CA55-4B80-9466-7B128D751A7D}" keepAlive="1" name="Consulta - DADOS Q3" description="Conexão com a consulta 'DADOS Q3' na pasta de trabalho." type="5" refreshedVersion="0" background="1">
    <dbPr connection="Provider=Microsoft.Mashup.OleDb.1;Data Source=$Workbook$;Location=&quot;DADOS Q3&quot;;Extended Properties=&quot;&quot;" command="SELECT * FROM [DADOS Q3]"/>
  </connection>
  <connection id="2" xr16:uid="{0C102A31-FFD3-439E-84D3-11D9B848D547}" keepAlive="1" name="Consulta - q4" description="Conexão com a consulta 'q4' na pasta de trabalho." type="5" refreshedVersion="0" background="1">
    <dbPr connection="Provider=Microsoft.Mashup.OleDb.1;Data Source=$Workbook$;Location=q4;Extended Properties=&quot;&quot;" command="SELECT * FROM [q4]"/>
  </connection>
</connections>
</file>

<file path=xl/sharedStrings.xml><?xml version="1.0" encoding="utf-8"?>
<sst xmlns="http://schemas.openxmlformats.org/spreadsheetml/2006/main" count="113" uniqueCount="84">
  <si>
    <t>QUESTÃO 1</t>
  </si>
  <si>
    <t>DADOS</t>
  </si>
  <si>
    <t>Reator</t>
  </si>
  <si>
    <t>V (L)</t>
  </si>
  <si>
    <t>k (1/h)</t>
  </si>
  <si>
    <r>
      <t>Q</t>
    </r>
    <r>
      <rPr>
        <vertAlign val="subscript"/>
        <sz val="12"/>
        <color theme="0"/>
        <rFont val="Bahnschrift"/>
        <family val="2"/>
      </rPr>
      <t>32</t>
    </r>
  </si>
  <si>
    <t>Corrente</t>
  </si>
  <si>
    <t>Vazão (L/h)</t>
  </si>
  <si>
    <r>
      <t>Q</t>
    </r>
    <r>
      <rPr>
        <vertAlign val="subscript"/>
        <sz val="12"/>
        <color theme="0"/>
        <rFont val="Bahnschrift"/>
        <family val="2"/>
      </rPr>
      <t>in</t>
    </r>
  </si>
  <si>
    <r>
      <t>Q</t>
    </r>
    <r>
      <rPr>
        <vertAlign val="subscript"/>
        <sz val="12"/>
        <color theme="0"/>
        <rFont val="Bahnschrift"/>
        <family val="2"/>
      </rPr>
      <t>12</t>
    </r>
  </si>
  <si>
    <r>
      <t>Q</t>
    </r>
    <r>
      <rPr>
        <vertAlign val="subscript"/>
        <sz val="12"/>
        <color theme="0"/>
        <rFont val="Bahnschrift"/>
        <family val="2"/>
      </rPr>
      <t>23</t>
    </r>
  </si>
  <si>
    <r>
      <t>Q</t>
    </r>
    <r>
      <rPr>
        <vertAlign val="subscript"/>
        <sz val="12"/>
        <color theme="0"/>
        <rFont val="Bahnschrift"/>
        <family val="2"/>
      </rPr>
      <t>34</t>
    </r>
  </si>
  <si>
    <r>
      <t>Q</t>
    </r>
    <r>
      <rPr>
        <vertAlign val="subscript"/>
        <sz val="12"/>
        <color theme="0"/>
        <rFont val="Bahnschrift"/>
        <family val="2"/>
      </rPr>
      <t>43</t>
    </r>
  </si>
  <si>
    <r>
      <t>Q</t>
    </r>
    <r>
      <rPr>
        <vertAlign val="subscript"/>
        <sz val="12"/>
        <color theme="0"/>
        <rFont val="Bahnschrift"/>
        <family val="2"/>
      </rPr>
      <t>44</t>
    </r>
  </si>
  <si>
    <t>Concentração (mol/L)</t>
  </si>
  <si>
    <t>EE?</t>
  </si>
  <si>
    <r>
      <t>c</t>
    </r>
    <r>
      <rPr>
        <vertAlign val="subscript"/>
        <sz val="12"/>
        <color theme="0"/>
        <rFont val="Bahnschrift"/>
        <family val="2"/>
      </rPr>
      <t>a1</t>
    </r>
  </si>
  <si>
    <r>
      <t>c</t>
    </r>
    <r>
      <rPr>
        <vertAlign val="subscript"/>
        <sz val="12"/>
        <color theme="0"/>
        <rFont val="Bahnschrift"/>
        <family val="2"/>
      </rPr>
      <t>a2</t>
    </r>
  </si>
  <si>
    <r>
      <t>c</t>
    </r>
    <r>
      <rPr>
        <vertAlign val="subscript"/>
        <sz val="12"/>
        <color theme="0"/>
        <rFont val="Bahnschrift"/>
        <family val="2"/>
      </rPr>
      <t>a3</t>
    </r>
  </si>
  <si>
    <r>
      <t>c</t>
    </r>
    <r>
      <rPr>
        <vertAlign val="subscript"/>
        <sz val="12"/>
        <color theme="0"/>
        <rFont val="Bahnschrift"/>
        <family val="2"/>
      </rPr>
      <t>a4</t>
    </r>
  </si>
  <si>
    <t>Matriz A</t>
  </si>
  <si>
    <t>Vetor x</t>
  </si>
  <si>
    <t>Vetor b</t>
  </si>
  <si>
    <t>Solver</t>
  </si>
  <si>
    <t>Ax-b</t>
  </si>
  <si>
    <t>cálculos</t>
  </si>
  <si>
    <t>x</t>
  </si>
  <si>
    <t>y</t>
  </si>
  <si>
    <t>F(A1-x) -0,855xyV</t>
  </si>
  <si>
    <t>F(B1-y) -0,855xyV</t>
  </si>
  <si>
    <t>a(x,y,z,w)</t>
  </si>
  <si>
    <t>b(x,y,z,w)</t>
  </si>
  <si>
    <t>u(x,y,z,w)</t>
  </si>
  <si>
    <t>v(x,y,z,w)</t>
  </si>
  <si>
    <t>F(C1-z) +0,855xyV</t>
  </si>
  <si>
    <t>F(D1-w) +0,855xyV</t>
  </si>
  <si>
    <t>Constantes</t>
  </si>
  <si>
    <t>F</t>
  </si>
  <si>
    <t>V</t>
  </si>
  <si>
    <t>A1</t>
  </si>
  <si>
    <t>B1</t>
  </si>
  <si>
    <t>C1</t>
  </si>
  <si>
    <t>D1</t>
  </si>
  <si>
    <t>z</t>
  </si>
  <si>
    <t>w</t>
  </si>
  <si>
    <t>Guess</t>
  </si>
  <si>
    <t>Valores Numéricos</t>
  </si>
  <si>
    <t>f1(A, B, C, T, Tj)</t>
  </si>
  <si>
    <t>f2(A, B, C, T, Tj)</t>
  </si>
  <si>
    <t>f3(A, B, C, T, Tj)</t>
  </si>
  <si>
    <t>f4(A, B, C, T, Tj)</t>
  </si>
  <si>
    <t>f5(A, B, C, T, Tj)</t>
  </si>
  <si>
    <t>Q</t>
  </si>
  <si>
    <t>A</t>
  </si>
  <si>
    <t>B</t>
  </si>
  <si>
    <t>C</t>
  </si>
  <si>
    <t>T</t>
  </si>
  <si>
    <t>Tj</t>
  </si>
  <si>
    <t>ρ</t>
  </si>
  <si>
    <r>
      <t>c</t>
    </r>
    <r>
      <rPr>
        <vertAlign val="subscript"/>
        <sz val="12"/>
        <color theme="0"/>
        <rFont val="Bahnschrift"/>
        <family val="2"/>
      </rPr>
      <t>p</t>
    </r>
  </si>
  <si>
    <r>
      <t>k</t>
    </r>
    <r>
      <rPr>
        <vertAlign val="subscript"/>
        <sz val="12"/>
        <color theme="0"/>
        <rFont val="Bahnschrift"/>
        <family val="2"/>
      </rPr>
      <t>0</t>
    </r>
  </si>
  <si>
    <r>
      <t>E</t>
    </r>
    <r>
      <rPr>
        <vertAlign val="subscript"/>
        <sz val="12"/>
        <color theme="0"/>
        <rFont val="Bahnschrift"/>
        <family val="2"/>
      </rPr>
      <t>A</t>
    </r>
  </si>
  <si>
    <t>R</t>
  </si>
  <si>
    <r>
      <t>ΔH</t>
    </r>
    <r>
      <rPr>
        <vertAlign val="subscript"/>
        <sz val="12"/>
        <color theme="0"/>
        <rFont val="Bahnschrift"/>
        <family val="2"/>
      </rPr>
      <t>R</t>
    </r>
  </si>
  <si>
    <t>U</t>
  </si>
  <si>
    <r>
      <t>c</t>
    </r>
    <r>
      <rPr>
        <vertAlign val="subscript"/>
        <sz val="12"/>
        <color theme="0"/>
        <rFont val="Bahnschrift"/>
        <family val="2"/>
      </rPr>
      <t>pj</t>
    </r>
  </si>
  <si>
    <r>
      <t>ρ</t>
    </r>
    <r>
      <rPr>
        <vertAlign val="subscript"/>
        <sz val="12"/>
        <color theme="0"/>
        <rFont val="Bahnschrift"/>
        <family val="2"/>
      </rPr>
      <t>j</t>
    </r>
  </si>
  <si>
    <r>
      <t>Q</t>
    </r>
    <r>
      <rPr>
        <vertAlign val="subscript"/>
        <sz val="12"/>
        <color theme="0"/>
        <rFont val="Bahnschrift"/>
        <family val="2"/>
      </rPr>
      <t>j</t>
    </r>
  </si>
  <si>
    <r>
      <t>C</t>
    </r>
    <r>
      <rPr>
        <vertAlign val="subscript"/>
        <sz val="12"/>
        <color theme="0"/>
        <rFont val="Bahnschrift"/>
        <family val="2"/>
      </rPr>
      <t>A in</t>
    </r>
  </si>
  <si>
    <r>
      <t>C</t>
    </r>
    <r>
      <rPr>
        <vertAlign val="subscript"/>
        <sz val="12"/>
        <color theme="0"/>
        <rFont val="Bahnschrift"/>
        <family val="2"/>
      </rPr>
      <t>B in</t>
    </r>
  </si>
  <si>
    <r>
      <t>C</t>
    </r>
    <r>
      <rPr>
        <vertAlign val="subscript"/>
        <sz val="12"/>
        <color theme="0"/>
        <rFont val="Bahnschrift"/>
        <family val="2"/>
      </rPr>
      <t>C in</t>
    </r>
  </si>
  <si>
    <r>
      <t>T</t>
    </r>
    <r>
      <rPr>
        <vertAlign val="subscript"/>
        <sz val="12"/>
        <color theme="0"/>
        <rFont val="Bahnschrift"/>
        <family val="2"/>
      </rPr>
      <t xml:space="preserve"> in</t>
    </r>
  </si>
  <si>
    <r>
      <t>T</t>
    </r>
    <r>
      <rPr>
        <vertAlign val="subscript"/>
        <sz val="12"/>
        <color theme="0"/>
        <rFont val="Bahnschrift"/>
        <family val="2"/>
      </rPr>
      <t>j in</t>
    </r>
  </si>
  <si>
    <t>k</t>
  </si>
  <si>
    <t>Q(A1-A) -kABV</t>
  </si>
  <si>
    <t>Q(B1-B) -kABV</t>
  </si>
  <si>
    <t>Q(C1-C) +kABV</t>
  </si>
  <si>
    <r>
      <t>Qρc</t>
    </r>
    <r>
      <rPr>
        <vertAlign val="subscript"/>
        <sz val="12"/>
        <color theme="0"/>
        <rFont val="Bahnschrift"/>
        <family val="2"/>
      </rPr>
      <t>p</t>
    </r>
    <r>
      <rPr>
        <sz val="12"/>
        <color theme="0"/>
        <rFont val="Bahnschrift"/>
        <family val="2"/>
      </rPr>
      <t>(T</t>
    </r>
    <r>
      <rPr>
        <vertAlign val="subscript"/>
        <sz val="12"/>
        <color theme="0"/>
        <rFont val="Bahnschrift"/>
        <family val="2"/>
      </rPr>
      <t>in</t>
    </r>
    <r>
      <rPr>
        <sz val="12"/>
        <color theme="0"/>
        <rFont val="Bahnschrift"/>
        <family val="2"/>
      </rPr>
      <t>-T) +UA(T</t>
    </r>
    <r>
      <rPr>
        <vertAlign val="subscript"/>
        <sz val="12"/>
        <color theme="0"/>
        <rFont val="Bahnschrift"/>
        <family val="2"/>
      </rPr>
      <t>j</t>
    </r>
    <r>
      <rPr>
        <sz val="12"/>
        <color theme="0"/>
        <rFont val="Bahnschrift"/>
        <family val="2"/>
      </rPr>
      <t>-T) +kABV(-ΔH</t>
    </r>
    <r>
      <rPr>
        <vertAlign val="subscript"/>
        <sz val="12"/>
        <color theme="0"/>
        <rFont val="Bahnschrift"/>
        <family val="2"/>
      </rPr>
      <t>R</t>
    </r>
    <r>
      <rPr>
        <sz val="12"/>
        <color theme="0"/>
        <rFont val="Bahnschrift"/>
        <family val="2"/>
      </rPr>
      <t>)</t>
    </r>
  </si>
  <si>
    <r>
      <t>Q</t>
    </r>
    <r>
      <rPr>
        <vertAlign val="subscript"/>
        <sz val="12"/>
        <color theme="0"/>
        <rFont val="Bahnschrift"/>
        <family val="2"/>
      </rPr>
      <t>j</t>
    </r>
    <r>
      <rPr>
        <sz val="12"/>
        <color theme="0"/>
        <rFont val="Bahnschrift"/>
        <family val="2"/>
      </rPr>
      <t>ρ</t>
    </r>
    <r>
      <rPr>
        <vertAlign val="subscript"/>
        <sz val="12"/>
        <color theme="0"/>
        <rFont val="Bahnschrift"/>
        <family val="2"/>
      </rPr>
      <t>j</t>
    </r>
    <r>
      <rPr>
        <sz val="12"/>
        <color theme="0"/>
        <rFont val="Bahnschrift"/>
        <family val="2"/>
      </rPr>
      <t>c</t>
    </r>
    <r>
      <rPr>
        <vertAlign val="subscript"/>
        <sz val="12"/>
        <color theme="0"/>
        <rFont val="Bahnschrift"/>
        <family val="2"/>
      </rPr>
      <t>pj</t>
    </r>
    <r>
      <rPr>
        <sz val="12"/>
        <color theme="0"/>
        <rFont val="Bahnschrift"/>
        <family val="2"/>
      </rPr>
      <t>(T</t>
    </r>
    <r>
      <rPr>
        <vertAlign val="subscript"/>
        <sz val="12"/>
        <color theme="0"/>
        <rFont val="Bahnschrift"/>
        <family val="2"/>
      </rPr>
      <t>j</t>
    </r>
    <r>
      <rPr>
        <sz val="12"/>
        <color theme="0"/>
        <rFont val="Bahnschrift"/>
        <family val="2"/>
      </rPr>
      <t xml:space="preserve"> </t>
    </r>
    <r>
      <rPr>
        <vertAlign val="subscript"/>
        <sz val="12"/>
        <color theme="0"/>
        <rFont val="Bahnschrift"/>
        <family val="2"/>
      </rPr>
      <t>in</t>
    </r>
    <r>
      <rPr>
        <sz val="12"/>
        <color theme="0"/>
        <rFont val="Bahnschrift"/>
        <family val="2"/>
      </rPr>
      <t>-T</t>
    </r>
    <r>
      <rPr>
        <vertAlign val="subscript"/>
        <sz val="12"/>
        <color theme="0"/>
        <rFont val="Bahnschrift"/>
        <family val="2"/>
      </rPr>
      <t>j</t>
    </r>
    <r>
      <rPr>
        <sz val="12"/>
        <color theme="0"/>
        <rFont val="Bahnschrift"/>
        <family val="2"/>
      </rPr>
      <t>) +UA(T-T</t>
    </r>
    <r>
      <rPr>
        <vertAlign val="subscript"/>
        <sz val="12"/>
        <color theme="0"/>
        <rFont val="Bahnschrift"/>
        <family val="2"/>
      </rPr>
      <t>j</t>
    </r>
    <r>
      <rPr>
        <sz val="12"/>
        <color theme="0"/>
        <rFont val="Bahnschrift"/>
        <family val="2"/>
      </rPr>
      <t>)</t>
    </r>
  </si>
  <si>
    <t>Componente</t>
  </si>
  <si>
    <t>Propano</t>
  </si>
  <si>
    <t>n-Butano</t>
  </si>
  <si>
    <t>n-Pentano</t>
  </si>
  <si>
    <t>n-Hexano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</si>
</sst>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Bahnschrift"/>
      <family val="2"/>
    </font>
    <font>
      <sz val="12"/>
      <color theme="0"/>
      <name val="Bahnschrift"/>
      <family val="2"/>
    </font>
    <font>
      <sz val="26"/>
      <color theme="0"/>
      <name val="Bahnschrift"/>
      <family val="2"/>
    </font>
    <font>
      <vertAlign val="subscript"/>
      <sz val="12"/>
      <color theme="0"/>
      <name val="Bahnschrift"/>
      <family val="2"/>
    </font>
    <font>
      <sz val="8"/>
      <name val="Bahnschrift"/>
      <family val="2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Concentração</a:t>
            </a:r>
            <a:r>
              <a:rPr lang="pt-BR" baseline="0"/>
              <a:t> de A nos reatores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0.12088998250218723"/>
                  <c:y val="-0.721443205016039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'Questão 1'!$A$6:$A$9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'Questão 1'!$E$12:$E$15</c:f>
              <c:numCache>
                <c:formatCode>General</c:formatCode>
                <c:ptCount val="4"/>
                <c:pt idx="0">
                  <c:v>0.84210526315789469</c:v>
                </c:pt>
                <c:pt idx="1">
                  <c:v>0.33821857621286139</c:v>
                </c:pt>
                <c:pt idx="2">
                  <c:v>9.1436998801732866E-2</c:v>
                </c:pt>
                <c:pt idx="3">
                  <c:v>7.6689095769195303E-2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CD-4467-8F4B-3E50CFA0E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190160"/>
        <c:axId val="584196280"/>
      </c:scatterChart>
      <c:valAx>
        <c:axId val="584190160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4196280"/>
        <c:crosses val="autoZero"/>
        <c:crossBetween val="midCat"/>
      </c:valAx>
      <c:valAx>
        <c:axId val="58419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419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2</xdr:row>
      <xdr:rowOff>47625</xdr:rowOff>
    </xdr:from>
    <xdr:to>
      <xdr:col>14</xdr:col>
      <xdr:colOff>19050</xdr:colOff>
      <xdr:row>15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84D371F-D158-FA62-7F55-3538E3E4B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695325</xdr:colOff>
      <xdr:row>17</xdr:row>
      <xdr:rowOff>219075</xdr:rowOff>
    </xdr:from>
    <xdr:to>
      <xdr:col>7</xdr:col>
      <xdr:colOff>85725</xdr:colOff>
      <xdr:row>21</xdr:row>
      <xdr:rowOff>219075</xdr:rowOff>
    </xdr:to>
    <xdr:pic macro="[0]!QUESTAO1">
      <xdr:nvPicPr>
        <xdr:cNvPr id="4" name="Gráfico 3" descr="Engrenagem única">
          <a:extLst>
            <a:ext uri="{FF2B5EF4-FFF2-40B4-BE49-F238E27FC236}">
              <a16:creationId xmlns:a16="http://schemas.microsoft.com/office/drawing/2014/main" id="{03446D1F-ED82-7C1B-9101-0ED1C83E8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457825" y="3686175"/>
          <a:ext cx="914400" cy="9144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A01C0-BDE1-4D49-8BAB-C79C42175DE6}">
  <sheetPr codeName="Planilha1"/>
  <dimension ref="A1:O22"/>
  <sheetViews>
    <sheetView workbookViewId="0">
      <selection activeCell="B23" sqref="B23"/>
    </sheetView>
  </sheetViews>
  <sheetFormatPr defaultRowHeight="15" x14ac:dyDescent="0.2"/>
  <cols>
    <col min="1" max="1" width="8.88671875" style="1"/>
    <col min="2" max="2" width="10.109375" style="1" bestFit="1" customWidth="1"/>
    <col min="3" max="3" width="18.77734375" style="1" bestFit="1" customWidth="1"/>
    <col min="4" max="16384" width="8.88671875" style="1"/>
  </cols>
  <sheetData>
    <row r="1" spans="1:15" x14ac:dyDescent="0.2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15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4" spans="1:15" x14ac:dyDescent="0.2">
      <c r="A4" s="17" t="s">
        <v>1</v>
      </c>
      <c r="B4" s="17"/>
      <c r="C4" s="17"/>
      <c r="D4" s="2"/>
      <c r="E4" s="18" t="s">
        <v>20</v>
      </c>
      <c r="F4" s="18"/>
      <c r="G4" s="18"/>
      <c r="H4" s="18"/>
    </row>
    <row r="5" spans="1:15" x14ac:dyDescent="0.2">
      <c r="A5" s="5" t="s">
        <v>2</v>
      </c>
      <c r="B5" s="5" t="s">
        <v>3</v>
      </c>
      <c r="C5" s="5" t="s">
        <v>4</v>
      </c>
      <c r="E5" s="9">
        <f>-B13-C6*B6</f>
        <v>-11.875</v>
      </c>
      <c r="F5" s="9">
        <v>0</v>
      </c>
      <c r="G5" s="9">
        <v>0</v>
      </c>
      <c r="H5" s="9">
        <v>0</v>
      </c>
    </row>
    <row r="6" spans="1:15" x14ac:dyDescent="0.2">
      <c r="A6" s="6">
        <v>1</v>
      </c>
      <c r="B6" s="6">
        <v>25</v>
      </c>
      <c r="C6" s="6">
        <v>7.4999999999999997E-2</v>
      </c>
      <c r="E6" s="9">
        <f>B13</f>
        <v>10</v>
      </c>
      <c r="F6" s="9">
        <f>-B14-C7*B7</f>
        <v>-26.25</v>
      </c>
      <c r="G6" s="9">
        <f>B15</f>
        <v>5</v>
      </c>
      <c r="H6" s="9">
        <v>0</v>
      </c>
    </row>
    <row r="7" spans="1:15" x14ac:dyDescent="0.2">
      <c r="A7" s="6">
        <v>2</v>
      </c>
      <c r="B7" s="6">
        <v>75</v>
      </c>
      <c r="C7" s="6">
        <v>0.15</v>
      </c>
      <c r="E7" s="9">
        <v>0</v>
      </c>
      <c r="F7" s="9">
        <f>B14</f>
        <v>15</v>
      </c>
      <c r="G7" s="9">
        <f>-B15-B16-C8*B8</f>
        <v>-58</v>
      </c>
      <c r="H7" s="9">
        <f>B17</f>
        <v>3</v>
      </c>
    </row>
    <row r="8" spans="1:15" x14ac:dyDescent="0.2">
      <c r="A8" s="6">
        <v>3</v>
      </c>
      <c r="B8" s="6">
        <v>100</v>
      </c>
      <c r="C8" s="6">
        <v>0.4</v>
      </c>
      <c r="E8" s="9">
        <v>0</v>
      </c>
      <c r="F8" s="9">
        <v>0</v>
      </c>
      <c r="G8" s="9">
        <f>B16</f>
        <v>13</v>
      </c>
      <c r="H8" s="9">
        <f>-B17-B18-C9*B9</f>
        <v>-15.5</v>
      </c>
    </row>
    <row r="9" spans="1:15" x14ac:dyDescent="0.2">
      <c r="A9" s="6">
        <v>4</v>
      </c>
      <c r="B9" s="6">
        <v>25</v>
      </c>
      <c r="C9" s="6">
        <v>0.1</v>
      </c>
    </row>
    <row r="11" spans="1:15" x14ac:dyDescent="0.2">
      <c r="A11" s="7" t="s">
        <v>6</v>
      </c>
      <c r="B11" s="7" t="s">
        <v>7</v>
      </c>
      <c r="C11" s="7" t="s">
        <v>14</v>
      </c>
      <c r="E11" s="10" t="s">
        <v>21</v>
      </c>
      <c r="H11" s="10" t="s">
        <v>22</v>
      </c>
    </row>
    <row r="12" spans="1:15" ht="18" x14ac:dyDescent="0.2">
      <c r="A12" s="8" t="s">
        <v>8</v>
      </c>
      <c r="B12" s="8">
        <v>10</v>
      </c>
      <c r="C12" s="8">
        <v>1</v>
      </c>
      <c r="E12" s="11">
        <f t="array" ref="E12:E15">MMULT(MINVERSE(E5:H8),H12:H15)</f>
        <v>0.84210526315789469</v>
      </c>
      <c r="F12" s="8" t="s">
        <v>16</v>
      </c>
      <c r="H12" s="11">
        <f>-C12*B12</f>
        <v>-10</v>
      </c>
    </row>
    <row r="13" spans="1:15" ht="18" x14ac:dyDescent="0.2">
      <c r="A13" s="8" t="s">
        <v>9</v>
      </c>
      <c r="B13" s="8">
        <f>B12</f>
        <v>10</v>
      </c>
      <c r="C13" s="8" t="s">
        <v>16</v>
      </c>
      <c r="E13" s="11">
        <v>0.33821857621286139</v>
      </c>
      <c r="F13" s="8" t="s">
        <v>17</v>
      </c>
      <c r="H13" s="11">
        <v>0</v>
      </c>
    </row>
    <row r="14" spans="1:15" ht="18" x14ac:dyDescent="0.2">
      <c r="A14" s="8" t="s">
        <v>10</v>
      </c>
      <c r="B14" s="8">
        <f>B13+B15</f>
        <v>15</v>
      </c>
      <c r="C14" s="8" t="s">
        <v>17</v>
      </c>
      <c r="E14" s="11">
        <v>9.1436998801732866E-2</v>
      </c>
      <c r="F14" s="8" t="s">
        <v>18</v>
      </c>
      <c r="H14" s="11">
        <v>0</v>
      </c>
    </row>
    <row r="15" spans="1:15" ht="18" x14ac:dyDescent="0.2">
      <c r="A15" s="8" t="s">
        <v>5</v>
      </c>
      <c r="B15" s="8">
        <v>5</v>
      </c>
      <c r="C15" s="8" t="s">
        <v>18</v>
      </c>
      <c r="E15" s="11">
        <v>7.6689095769195303E-2</v>
      </c>
      <c r="F15" s="8" t="s">
        <v>19</v>
      </c>
      <c r="H15" s="11">
        <v>0</v>
      </c>
    </row>
    <row r="16" spans="1:15" ht="18" x14ac:dyDescent="0.2">
      <c r="A16" s="8" t="s">
        <v>11</v>
      </c>
      <c r="B16" s="8">
        <f>B17+B14-B15</f>
        <v>13</v>
      </c>
      <c r="C16" s="8" t="s">
        <v>18</v>
      </c>
    </row>
    <row r="17" spans="1:8" ht="18" x14ac:dyDescent="0.2">
      <c r="A17" s="8" t="s">
        <v>12</v>
      </c>
      <c r="B17" s="8">
        <v>3</v>
      </c>
      <c r="C17" s="8" t="s">
        <v>19</v>
      </c>
      <c r="E17" s="19" t="s">
        <v>23</v>
      </c>
      <c r="F17" s="19"/>
      <c r="G17" s="19"/>
      <c r="H17" s="19"/>
    </row>
    <row r="18" spans="1:8" ht="18" x14ac:dyDescent="0.2">
      <c r="A18" s="8" t="s">
        <v>13</v>
      </c>
      <c r="B18" s="8">
        <f>B16-B17</f>
        <v>10</v>
      </c>
      <c r="C18" s="8" t="s">
        <v>19</v>
      </c>
      <c r="E18" s="10" t="s">
        <v>21</v>
      </c>
      <c r="H18" s="10" t="s">
        <v>24</v>
      </c>
    </row>
    <row r="19" spans="1:8" ht="18" x14ac:dyDescent="0.2">
      <c r="E19" s="11">
        <v>0.84210610526315788</v>
      </c>
      <c r="F19" s="8" t="s">
        <v>16</v>
      </c>
      <c r="H19" s="11">
        <f t="array" ref="H19:H22">MMULT(E5:H8,E19:E22)-H12:H15</f>
        <v>-9.9999999996214228E-6</v>
      </c>
    </row>
    <row r="20" spans="1:8" ht="18" x14ac:dyDescent="0.2">
      <c r="A20" s="3" t="s">
        <v>15</v>
      </c>
      <c r="B20" s="3" t="str">
        <f>IF(B18=B12,"SIM","NÃO")</f>
        <v>SIM</v>
      </c>
      <c r="E20" s="11">
        <v>0.33821891443143759</v>
      </c>
      <c r="F20" s="8" t="s">
        <v>17</v>
      </c>
      <c r="H20" s="11">
        <v>7.7715611723760958E-16</v>
      </c>
    </row>
    <row r="21" spans="1:8" ht="18" x14ac:dyDescent="0.2">
      <c r="E21" s="11">
        <v>9.1437090238731658E-2</v>
      </c>
      <c r="F21" s="8" t="s">
        <v>18</v>
      </c>
      <c r="H21" s="11">
        <v>4.7184478546569153E-16</v>
      </c>
    </row>
    <row r="22" spans="1:8" ht="18" x14ac:dyDescent="0.2">
      <c r="E22" s="11">
        <v>7.6689172458291072E-2</v>
      </c>
      <c r="F22" s="8" t="s">
        <v>19</v>
      </c>
      <c r="H22" s="11">
        <v>0</v>
      </c>
    </row>
  </sheetData>
  <mergeCells count="4">
    <mergeCell ref="A1:O2"/>
    <mergeCell ref="A4:C4"/>
    <mergeCell ref="E4:H4"/>
    <mergeCell ref="E17:H1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9EBB-2B92-4CF2-9ACE-9632DFC4C84C}">
  <dimension ref="A2:H12"/>
  <sheetViews>
    <sheetView tabSelected="1" workbookViewId="0">
      <selection activeCell="J9" sqref="J9"/>
    </sheetView>
  </sheetViews>
  <sheetFormatPr defaultRowHeight="15" x14ac:dyDescent="0.2"/>
  <cols>
    <col min="1" max="1" width="8.88671875" style="1"/>
    <col min="2" max="2" width="15.21875" style="1" bestFit="1" customWidth="1"/>
    <col min="3" max="4" width="8.88671875" style="1"/>
    <col min="5" max="5" width="12.88671875" style="1" bestFit="1" customWidth="1"/>
    <col min="6" max="7" width="8.88671875" style="1"/>
    <col min="8" max="8" width="12" style="1" bestFit="1" customWidth="1"/>
    <col min="9" max="16384" width="8.88671875" style="1"/>
  </cols>
  <sheetData>
    <row r="2" spans="1:8" x14ac:dyDescent="0.2">
      <c r="A2" s="22" t="s">
        <v>25</v>
      </c>
      <c r="B2" s="22"/>
      <c r="D2" s="20" t="s">
        <v>36</v>
      </c>
      <c r="E2" s="20"/>
      <c r="G2" s="21" t="s">
        <v>45</v>
      </c>
      <c r="H2" s="21"/>
    </row>
    <row r="3" spans="1:8" x14ac:dyDescent="0.2">
      <c r="A3" s="4" t="s">
        <v>30</v>
      </c>
      <c r="B3" s="4" t="s">
        <v>28</v>
      </c>
      <c r="D3" s="12" t="s">
        <v>37</v>
      </c>
      <c r="E3" s="12">
        <v>5</v>
      </c>
      <c r="G3" s="7" t="s">
        <v>26</v>
      </c>
      <c r="H3" s="7">
        <v>0.40591864087820784</v>
      </c>
    </row>
    <row r="4" spans="1:8" x14ac:dyDescent="0.2">
      <c r="A4" s="4" t="s">
        <v>31</v>
      </c>
      <c r="B4" s="4" t="s">
        <v>29</v>
      </c>
      <c r="D4" s="12" t="s">
        <v>38</v>
      </c>
      <c r="E4" s="12">
        <v>40</v>
      </c>
      <c r="G4" s="7" t="s">
        <v>27</v>
      </c>
      <c r="H4" s="7">
        <v>0.10591864087820795</v>
      </c>
    </row>
    <row r="5" spans="1:8" x14ac:dyDescent="0.2">
      <c r="A5" s="4" t="s">
        <v>32</v>
      </c>
      <c r="B5" s="4" t="s">
        <v>34</v>
      </c>
      <c r="D5" s="12" t="s">
        <v>39</v>
      </c>
      <c r="E5" s="12">
        <v>0.7</v>
      </c>
      <c r="G5" s="7" t="s">
        <v>43</v>
      </c>
      <c r="H5" s="7">
        <v>0.29408135912179212</v>
      </c>
    </row>
    <row r="6" spans="1:8" x14ac:dyDescent="0.2">
      <c r="A6" s="4" t="s">
        <v>33</v>
      </c>
      <c r="B6" s="4" t="s">
        <v>35</v>
      </c>
      <c r="D6" s="12" t="s">
        <v>40</v>
      </c>
      <c r="E6" s="12">
        <v>0.4</v>
      </c>
      <c r="G6" s="7" t="s">
        <v>44</v>
      </c>
      <c r="H6" s="7">
        <v>0.29408135912179212</v>
      </c>
    </row>
    <row r="7" spans="1:8" x14ac:dyDescent="0.2">
      <c r="D7" s="12" t="s">
        <v>41</v>
      </c>
      <c r="E7" s="12">
        <v>0</v>
      </c>
    </row>
    <row r="8" spans="1:8" x14ac:dyDescent="0.2">
      <c r="A8" s="22" t="s">
        <v>46</v>
      </c>
      <c r="B8" s="22"/>
      <c r="D8" s="12" t="s">
        <v>42</v>
      </c>
      <c r="E8" s="12">
        <v>0</v>
      </c>
    </row>
    <row r="9" spans="1:8" x14ac:dyDescent="0.2">
      <c r="A9" s="4" t="s">
        <v>30</v>
      </c>
      <c r="B9" s="4">
        <f>$E$3*($E$5-H3)-0.855*$H$3*$H$4*$E$4</f>
        <v>-5.1005866197328942E-12</v>
      </c>
    </row>
    <row r="10" spans="1:8" x14ac:dyDescent="0.2">
      <c r="A10" s="4" t="s">
        <v>31</v>
      </c>
      <c r="B10" s="4">
        <f>$E$3*($E$6-H4)-0.855*$H$3*$H$4*$E$4</f>
        <v>-5.1008086643378192E-12</v>
      </c>
    </row>
    <row r="11" spans="1:8" x14ac:dyDescent="0.2">
      <c r="A11" s="4" t="s">
        <v>32</v>
      </c>
      <c r="B11" s="4">
        <f>$E$3*($E$7-H5)+0.855*$H$3*$H$4*$E$4</f>
        <v>5.1005866197328942E-12</v>
      </c>
    </row>
    <row r="12" spans="1:8" x14ac:dyDescent="0.2">
      <c r="A12" s="4" t="s">
        <v>33</v>
      </c>
      <c r="B12" s="4">
        <f>$E$3*($E$8-H6)+0.855*$H$3*$H$4*$E$4</f>
        <v>5.1005866197328942E-12</v>
      </c>
    </row>
  </sheetData>
  <mergeCells count="4">
    <mergeCell ref="D2:E2"/>
    <mergeCell ref="G2:H2"/>
    <mergeCell ref="A2:B2"/>
    <mergeCell ref="A8:B8"/>
  </mergeCells>
  <phoneticPr fontId="4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2397C-54DB-4B75-9D67-64CAB7212C67}">
  <dimension ref="A2:H20"/>
  <sheetViews>
    <sheetView workbookViewId="0">
      <selection activeCell="H3" sqref="H3"/>
    </sheetView>
  </sheetViews>
  <sheetFormatPr defaultRowHeight="15" x14ac:dyDescent="0.2"/>
  <cols>
    <col min="1" max="1" width="12.88671875" style="1" bestFit="1" customWidth="1"/>
    <col min="2" max="2" width="34.77734375" style="1" customWidth="1"/>
    <col min="3" max="4" width="8.88671875" style="1"/>
    <col min="5" max="5" width="12.88671875" style="1" bestFit="1" customWidth="1"/>
    <col min="6" max="7" width="8.88671875" style="1"/>
    <col min="8" max="8" width="12" style="1" bestFit="1" customWidth="1"/>
    <col min="9" max="16384" width="8.88671875" style="1"/>
  </cols>
  <sheetData>
    <row r="2" spans="1:8" x14ac:dyDescent="0.2">
      <c r="A2" s="22" t="s">
        <v>25</v>
      </c>
      <c r="B2" s="22"/>
      <c r="D2" s="20" t="s">
        <v>36</v>
      </c>
      <c r="E2" s="20"/>
      <c r="G2" s="21" t="s">
        <v>45</v>
      </c>
      <c r="H2" s="21"/>
    </row>
    <row r="3" spans="1:8" ht="18" x14ac:dyDescent="0.2">
      <c r="A3" s="4" t="s">
        <v>47</v>
      </c>
      <c r="B3" s="4" t="s">
        <v>74</v>
      </c>
      <c r="D3" s="12" t="s">
        <v>68</v>
      </c>
      <c r="E3" s="12">
        <v>200</v>
      </c>
      <c r="G3" s="7" t="s">
        <v>53</v>
      </c>
      <c r="H3" s="7">
        <v>49.465636272423147</v>
      </c>
    </row>
    <row r="4" spans="1:8" ht="18" x14ac:dyDescent="0.2">
      <c r="A4" s="4" t="s">
        <v>48</v>
      </c>
      <c r="B4" s="4" t="s">
        <v>75</v>
      </c>
      <c r="D4" s="12" t="s">
        <v>69</v>
      </c>
      <c r="E4" s="12">
        <v>200</v>
      </c>
      <c r="G4" s="7" t="s">
        <v>54</v>
      </c>
      <c r="H4" s="7">
        <v>49.465636272423147</v>
      </c>
    </row>
    <row r="5" spans="1:8" ht="18" x14ac:dyDescent="0.2">
      <c r="A5" s="4" t="s">
        <v>49</v>
      </c>
      <c r="B5" s="4" t="s">
        <v>76</v>
      </c>
      <c r="D5" s="12" t="s">
        <v>70</v>
      </c>
      <c r="E5" s="12">
        <v>0</v>
      </c>
      <c r="G5" s="7" t="s">
        <v>55</v>
      </c>
      <c r="H5" s="7">
        <v>150.53436372757685</v>
      </c>
    </row>
    <row r="6" spans="1:8" ht="18" x14ac:dyDescent="0.2">
      <c r="A6" s="4" t="s">
        <v>50</v>
      </c>
      <c r="B6" s="4" t="s">
        <v>77</v>
      </c>
      <c r="D6" s="12" t="s">
        <v>58</v>
      </c>
      <c r="E6" s="12">
        <v>880</v>
      </c>
      <c r="G6" s="7" t="s">
        <v>56</v>
      </c>
      <c r="H6" s="7">
        <v>307.09772793657771</v>
      </c>
    </row>
    <row r="7" spans="1:8" ht="18" x14ac:dyDescent="0.2">
      <c r="A7" s="4" t="s">
        <v>51</v>
      </c>
      <c r="B7" s="4" t="s">
        <v>78</v>
      </c>
      <c r="D7" s="12" t="s">
        <v>59</v>
      </c>
      <c r="E7" s="12">
        <v>1750</v>
      </c>
      <c r="G7" s="7" t="s">
        <v>57</v>
      </c>
      <c r="H7" s="7">
        <v>282.03832466779568</v>
      </c>
    </row>
    <row r="8" spans="1:8" x14ac:dyDescent="0.2">
      <c r="A8" s="13" t="s">
        <v>73</v>
      </c>
      <c r="B8" s="13">
        <f>E10*EXP(-E11/(E12*H6))</f>
        <v>4.6141288190225255E-3</v>
      </c>
      <c r="D8" s="12" t="s">
        <v>53</v>
      </c>
      <c r="E8" s="12">
        <v>5</v>
      </c>
    </row>
    <row r="9" spans="1:8" x14ac:dyDescent="0.2">
      <c r="D9" s="12" t="s">
        <v>38</v>
      </c>
      <c r="E9" s="12">
        <v>40</v>
      </c>
    </row>
    <row r="10" spans="1:8" ht="18" x14ac:dyDescent="0.2">
      <c r="A10" s="22" t="s">
        <v>46</v>
      </c>
      <c r="B10" s="22"/>
      <c r="D10" s="12" t="s">
        <v>60</v>
      </c>
      <c r="E10" s="12">
        <v>820000</v>
      </c>
    </row>
    <row r="11" spans="1:8" ht="18" x14ac:dyDescent="0.2">
      <c r="A11" s="4" t="s">
        <v>47</v>
      </c>
      <c r="B11" s="4">
        <f>$E$17*(E3-H3)-$B$8*$H$3*$H$4*$E$9</f>
        <v>-3.0127011996228248E-12</v>
      </c>
      <c r="D11" s="12" t="s">
        <v>61</v>
      </c>
      <c r="E11" s="12">
        <v>48500</v>
      </c>
    </row>
    <row r="12" spans="1:8" x14ac:dyDescent="0.2">
      <c r="A12" s="4" t="s">
        <v>48</v>
      </c>
      <c r="B12" s="4">
        <f t="shared" ref="B12" si="0">$E$17*(E4-H4)-$B$8*$H$3*$H$4*$E$9</f>
        <v>-3.0127011996228248E-12</v>
      </c>
      <c r="D12" s="12" t="s">
        <v>62</v>
      </c>
      <c r="E12" s="12">
        <v>8.3140000000000001</v>
      </c>
    </row>
    <row r="13" spans="1:8" ht="18" x14ac:dyDescent="0.2">
      <c r="A13" s="4" t="s">
        <v>49</v>
      </c>
      <c r="B13" s="4">
        <f>$E$17*(E5-H5)+$B$8*$H$3*$H$4*$E$9</f>
        <v>3.0127011996228248E-12</v>
      </c>
      <c r="D13" s="12" t="s">
        <v>63</v>
      </c>
      <c r="E13" s="12">
        <v>-72800</v>
      </c>
    </row>
    <row r="14" spans="1:8" x14ac:dyDescent="0.2">
      <c r="A14" s="4" t="s">
        <v>50</v>
      </c>
      <c r="B14" s="4">
        <f>E17*$E$6*$E$7*(E19-H6)+$E$14*$E$8*($H$7-$H$6)+$B$8*$H$3*$H$4*E9*(-E13)</f>
        <v>1.0803341865539551E-7</v>
      </c>
      <c r="D14" s="12" t="s">
        <v>64</v>
      </c>
      <c r="E14" s="12">
        <v>680</v>
      </c>
    </row>
    <row r="15" spans="1:8" ht="18" x14ac:dyDescent="0.2">
      <c r="A15" s="4" t="s">
        <v>51</v>
      </c>
      <c r="B15" s="4">
        <f>E18*$E$16*$E$15*(E20-H7)+$E$14*$E$8*(-$H$7+$H$6)</f>
        <v>-4.0745362639427185E-10</v>
      </c>
      <c r="D15" s="12" t="s">
        <v>65</v>
      </c>
      <c r="E15" s="12">
        <v>4180</v>
      </c>
    </row>
    <row r="16" spans="1:8" ht="18" x14ac:dyDescent="0.2">
      <c r="B16" s="1">
        <f>SUMSQ(B11:B15)</f>
        <v>1.1671385592058726E-14</v>
      </c>
      <c r="D16" s="12" t="s">
        <v>66</v>
      </c>
      <c r="E16" s="12">
        <v>1000</v>
      </c>
    </row>
    <row r="17" spans="4:5" x14ac:dyDescent="0.2">
      <c r="D17" s="12" t="s">
        <v>52</v>
      </c>
      <c r="E17" s="12">
        <v>3</v>
      </c>
    </row>
    <row r="18" spans="4:5" ht="18" x14ac:dyDescent="0.2">
      <c r="D18" s="12" t="s">
        <v>67</v>
      </c>
      <c r="E18" s="12">
        <v>0.01</v>
      </c>
    </row>
    <row r="19" spans="4:5" ht="18" x14ac:dyDescent="0.2">
      <c r="D19" s="12" t="s">
        <v>71</v>
      </c>
      <c r="E19" s="12">
        <v>300</v>
      </c>
    </row>
    <row r="20" spans="4:5" ht="18" x14ac:dyDescent="0.2">
      <c r="D20" s="12" t="s">
        <v>72</v>
      </c>
      <c r="E20" s="12">
        <v>280</v>
      </c>
    </row>
  </sheetData>
  <mergeCells count="4">
    <mergeCell ref="A2:B2"/>
    <mergeCell ref="D2:E2"/>
    <mergeCell ref="G2:H2"/>
    <mergeCell ref="A10:B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F1CE4-C74A-4250-B03B-8E8328B10F34}">
  <dimension ref="A1:D5"/>
  <sheetViews>
    <sheetView workbookViewId="0">
      <selection activeCell="B1" sqref="B1"/>
    </sheetView>
  </sheetViews>
  <sheetFormatPr defaultRowHeight="15" x14ac:dyDescent="0.2"/>
  <cols>
    <col min="1" max="1" width="11.21875" style="1" bestFit="1" customWidth="1"/>
    <col min="2" max="2" width="8" style="1" bestFit="1" customWidth="1"/>
    <col min="3" max="3" width="9" style="1" bestFit="1" customWidth="1"/>
    <col min="4" max="4" width="8" style="1" bestFit="1" customWidth="1"/>
    <col min="5" max="16384" width="8.88671875" style="1"/>
  </cols>
  <sheetData>
    <row r="1" spans="1:4" x14ac:dyDescent="0.2">
      <c r="A1" s="14" t="s">
        <v>79</v>
      </c>
      <c r="B1" s="14" t="s">
        <v>53</v>
      </c>
      <c r="C1" s="14" t="s">
        <v>54</v>
      </c>
      <c r="D1" s="14" t="s">
        <v>55</v>
      </c>
    </row>
    <row r="2" spans="1:4" x14ac:dyDescent="0.2">
      <c r="A2" s="15" t="s">
        <v>80</v>
      </c>
      <c r="B2" s="15">
        <v>6.8296999999999999</v>
      </c>
      <c r="C2" s="15">
        <v>813.20079999999996</v>
      </c>
      <c r="D2" s="15">
        <v>247.99</v>
      </c>
    </row>
    <row r="3" spans="1:4" x14ac:dyDescent="0.2">
      <c r="A3" s="15" t="s">
        <v>81</v>
      </c>
      <c r="B3" s="15">
        <v>6.8089700000000004</v>
      </c>
      <c r="C3" s="15">
        <v>935.86</v>
      </c>
      <c r="D3" s="15">
        <v>238.73</v>
      </c>
    </row>
    <row r="4" spans="1:4" x14ac:dyDescent="0.2">
      <c r="A4" s="15" t="s">
        <v>82</v>
      </c>
      <c r="B4" s="15">
        <v>6.8522100000000004</v>
      </c>
      <c r="C4" s="15">
        <v>1064.6300000000001</v>
      </c>
      <c r="D4" s="15">
        <v>232</v>
      </c>
    </row>
    <row r="5" spans="1:4" x14ac:dyDescent="0.2">
      <c r="A5" s="15" t="s">
        <v>83</v>
      </c>
      <c r="B5" s="15">
        <v>6.8776000000000002</v>
      </c>
      <c r="C5" s="15">
        <v>1171.53</v>
      </c>
      <c r="D5" s="15">
        <v>234.36600000000001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6801FC-2C10-4E65-A3E2-CBA9C1EE89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Questão 1</vt:lpstr>
      <vt:lpstr>Questão2</vt:lpstr>
      <vt:lpstr>Questão3</vt:lpstr>
      <vt:lpstr>Questão4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Gonçalves Silva</dc:creator>
  <cp:lastModifiedBy>Guilherme Gonçalves Silva</cp:lastModifiedBy>
  <dcterms:created xsi:type="dcterms:W3CDTF">2023-05-01T18:09:43Z</dcterms:created>
  <dcterms:modified xsi:type="dcterms:W3CDTF">2023-05-11T12:03:20Z</dcterms:modified>
</cp:coreProperties>
</file>